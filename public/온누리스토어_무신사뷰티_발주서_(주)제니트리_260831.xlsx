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오피스08\Downloads\"/>
    </mc:Choice>
  </mc:AlternateContent>
  <xr:revisionPtr revIDLastSave="0" documentId="13_ncr:1_{2E0D5960-B46B-431F-A4F5-A18D86F97DF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발주서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29" i="1" l="1"/>
  <c r="S30" i="1"/>
  <c r="S31" i="1"/>
  <c r="S32" i="1"/>
  <c r="S33" i="1"/>
  <c r="S34" i="1"/>
  <c r="S35" i="1"/>
  <c r="S36" i="1"/>
  <c r="S37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28" i="1"/>
  <c r="P17" i="1"/>
  <c r="F6" i="1"/>
  <c r="S61" i="1" l="1"/>
</calcChain>
</file>

<file path=xl/sharedStrings.xml><?xml version="1.0" encoding="utf-8"?>
<sst xmlns="http://schemas.openxmlformats.org/spreadsheetml/2006/main" count="92" uniqueCount="48">
  <si>
    <t>발  주  서</t>
  </si>
  <si>
    <t xml:space="preserve">   </t>
  </si>
  <si>
    <r>
      <rPr>
        <sz val="10"/>
        <color rgb="FF000000"/>
        <rFont val="Noto Sans CJK SC"/>
        <family val="2"/>
      </rPr>
      <t xml:space="preserve">발주일자 </t>
    </r>
    <r>
      <rPr>
        <sz val="10"/>
        <color rgb="FF000000"/>
        <rFont val="Malgun Gothic"/>
        <family val="3"/>
        <charset val="129"/>
      </rPr>
      <t xml:space="preserve">: </t>
    </r>
  </si>
  <si>
    <r>
      <rPr>
        <sz val="10"/>
        <color rgb="FF000000"/>
        <rFont val="Noto Sans CJK SC"/>
        <family val="2"/>
      </rPr>
      <t xml:space="preserve">발주요청 </t>
    </r>
    <r>
      <rPr>
        <sz val="10"/>
        <color rgb="FF000000"/>
        <rFont val="Malgun Gothic"/>
        <family val="3"/>
        <charset val="129"/>
      </rPr>
      <t xml:space="preserve">: </t>
    </r>
  </si>
  <si>
    <t>주식회사 온누리스토어</t>
  </si>
  <si>
    <r>
      <rPr>
        <sz val="10"/>
        <color rgb="FF000000"/>
        <rFont val="Noto Sans CJK SC"/>
        <family val="2"/>
      </rPr>
      <t xml:space="preserve">수 신 자 </t>
    </r>
    <r>
      <rPr>
        <sz val="10"/>
        <color rgb="FF000000"/>
        <rFont val="Malgun Gothic"/>
        <family val="3"/>
        <charset val="129"/>
      </rPr>
      <t xml:space="preserve">: </t>
    </r>
  </si>
  <si>
    <r>
      <rPr>
        <sz val="10"/>
        <color theme="1"/>
        <rFont val="Malgun Gothic"/>
        <family val="3"/>
        <charset val="129"/>
      </rPr>
      <t>(</t>
    </r>
    <r>
      <rPr>
        <sz val="10"/>
        <color theme="1"/>
        <rFont val="Noto Sans CJK SC"/>
        <family val="2"/>
      </rPr>
      <t>주</t>
    </r>
    <r>
      <rPr>
        <sz val="10"/>
        <color theme="1"/>
        <rFont val="Malgun Gothic"/>
        <family val="3"/>
        <charset val="129"/>
      </rPr>
      <t>)</t>
    </r>
    <r>
      <rPr>
        <sz val="10"/>
        <color theme="1"/>
        <rFont val="Noto Sans CJK SC"/>
        <family val="2"/>
      </rPr>
      <t>제니트리</t>
    </r>
  </si>
  <si>
    <r>
      <rPr>
        <sz val="10"/>
        <color rgb="FF000000"/>
        <rFont val="Noto Sans CJK SC"/>
        <family val="2"/>
      </rPr>
      <t xml:space="preserve">납품기일 </t>
    </r>
    <r>
      <rPr>
        <sz val="10"/>
        <color rgb="FF000000"/>
        <rFont val="Malgun Gothic"/>
        <family val="3"/>
        <charset val="129"/>
      </rPr>
      <t xml:space="preserve">: </t>
    </r>
  </si>
  <si>
    <r>
      <rPr>
        <b/>
        <sz val="10"/>
        <color theme="1"/>
        <rFont val="Malgun Gothic"/>
        <family val="3"/>
        <charset val="129"/>
      </rPr>
      <t>2026. 09. 01. (</t>
    </r>
    <r>
      <rPr>
        <b/>
        <sz val="10"/>
        <color theme="1"/>
        <rFont val="Noto Sans CJK SC"/>
        <family val="2"/>
      </rPr>
      <t>발주서 내 지정 납품 기일일뿐 실제 납품 기일은 매장 방문 일정과 동일</t>
    </r>
    <r>
      <rPr>
        <b/>
        <sz val="10"/>
        <color theme="1"/>
        <rFont val="Malgun Gothic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</si>
  <si>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매장 방문 일정 </t>
    </r>
    <r>
      <rPr>
        <sz val="10"/>
        <color rgb="FF000000"/>
        <rFont val="Malgun Gothic"/>
        <family val="3"/>
        <charset val="129"/>
      </rPr>
      <t>:</t>
    </r>
  </si>
  <si>
    <t>09.01 ~ 09.03 (09:00 ~ 17:00)</t>
  </si>
  <si>
    <t>발신</t>
  </si>
  <si>
    <t>담 당 자</t>
  </si>
  <si>
    <t>박희수</t>
  </si>
  <si>
    <t>업 체 명</t>
  </si>
  <si>
    <t>사업자번호</t>
  </si>
  <si>
    <t>430-86-02315</t>
  </si>
  <si>
    <t>주     소</t>
  </si>
  <si>
    <r>
      <rPr>
        <sz val="10"/>
        <color rgb="FF000000"/>
        <rFont val="Noto Sans CJK SC"/>
        <family val="2"/>
      </rPr>
      <t xml:space="preserve">서울시 양천구 목동서로 </t>
    </r>
    <r>
      <rPr>
        <sz val="10"/>
        <color rgb="FF000000"/>
        <rFont val="Malgun Gothic"/>
        <family val="3"/>
        <charset val="129"/>
      </rPr>
      <t>159-1, 14</t>
    </r>
    <r>
      <rPr>
        <sz val="10"/>
        <color rgb="FF000000"/>
        <rFont val="Noto Sans CJK SC"/>
        <family val="2"/>
      </rPr>
      <t>층</t>
    </r>
    <r>
      <rPr>
        <sz val="10"/>
        <color rgb="FF000000"/>
        <rFont val="Malgun Gothic"/>
        <family val="3"/>
        <charset val="129"/>
      </rPr>
      <t>, 15</t>
    </r>
    <r>
      <rPr>
        <sz val="10"/>
        <color rgb="FF000000"/>
        <rFont val="Noto Sans CJK SC"/>
        <family val="2"/>
      </rPr>
      <t xml:space="preserve">층 </t>
    </r>
    <r>
      <rPr>
        <sz val="10"/>
        <color rgb="FF000000"/>
        <rFont val="Malgun Gothic"/>
        <family val="3"/>
        <charset val="129"/>
      </rPr>
      <t>(</t>
    </r>
    <r>
      <rPr>
        <sz val="10"/>
        <color rgb="FF000000"/>
        <rFont val="Noto Sans CJK SC"/>
        <family val="2"/>
      </rPr>
      <t>목동</t>
    </r>
    <r>
      <rPr>
        <sz val="10"/>
        <color rgb="FF000000"/>
        <rFont val="Malgun Gothic"/>
        <family val="3"/>
        <charset val="129"/>
      </rPr>
      <t>, CBS</t>
    </r>
    <r>
      <rPr>
        <sz val="10"/>
        <color rgb="FF000000"/>
        <rFont val="Noto Sans CJK SC"/>
        <family val="2"/>
      </rPr>
      <t>빌딩</t>
    </r>
    <r>
      <rPr>
        <sz val="10"/>
        <color rgb="FF000000"/>
        <rFont val="Malgun Gothic"/>
        <family val="3"/>
        <charset val="129"/>
      </rPr>
      <t>)</t>
    </r>
  </si>
  <si>
    <t>납품 주소</t>
  </si>
  <si>
    <r>
      <rPr>
        <b/>
        <sz val="10"/>
        <color rgb="FFFF0000"/>
        <rFont val="Noto Sans CJK SC"/>
        <family val="2"/>
      </rPr>
      <t>서울시 마포구 홍익로</t>
    </r>
    <r>
      <rPr>
        <b/>
        <sz val="10"/>
        <color rgb="FFFF0000"/>
        <rFont val="Malgun Gothic"/>
        <family val="3"/>
        <charset val="129"/>
      </rPr>
      <t xml:space="preserve">18 </t>
    </r>
    <r>
      <rPr>
        <b/>
        <sz val="10"/>
        <color rgb="FFFF0000"/>
        <rFont val="Noto Sans CJK SC"/>
        <family val="2"/>
      </rPr>
      <t>지하</t>
    </r>
    <r>
      <rPr>
        <b/>
        <sz val="10"/>
        <color rgb="FFFF0000"/>
        <rFont val="Malgun Gothic"/>
        <family val="3"/>
        <charset val="129"/>
      </rPr>
      <t>1</t>
    </r>
    <r>
      <rPr>
        <b/>
        <sz val="10"/>
        <color rgb="FFFF0000"/>
        <rFont val="Noto Sans CJK SC"/>
        <family val="2"/>
      </rPr>
      <t>층</t>
    </r>
    <r>
      <rPr>
        <b/>
        <sz val="10"/>
        <color rgb="FFFF0000"/>
        <rFont val="Malgun Gothic"/>
        <family val="3"/>
        <charset val="129"/>
      </rPr>
      <t>(</t>
    </r>
    <r>
      <rPr>
        <b/>
        <sz val="10"/>
        <color rgb="FFFF0000"/>
        <rFont val="Noto Sans CJK SC"/>
        <family val="2"/>
      </rPr>
      <t xml:space="preserve">구 </t>
    </r>
    <r>
      <rPr>
        <b/>
        <sz val="10"/>
        <color rgb="FFFF0000"/>
        <rFont val="Malgun Gothic"/>
        <family val="3"/>
        <charset val="129"/>
      </rPr>
      <t>KB</t>
    </r>
    <r>
      <rPr>
        <b/>
        <sz val="10"/>
        <color rgb="FFFF0000"/>
        <rFont val="Noto Sans CJK SC"/>
        <family val="2"/>
      </rPr>
      <t>청춘마루</t>
    </r>
    <r>
      <rPr>
        <b/>
        <sz val="10"/>
        <color rgb="FFFF0000"/>
        <rFont val="Malgun Gothic"/>
        <family val="3"/>
        <charset val="129"/>
      </rPr>
      <t>)</t>
    </r>
  </si>
  <si>
    <t>연 락 처</t>
  </si>
  <si>
    <t>010-6894-8197</t>
  </si>
  <si>
    <t>이 메 일</t>
  </si>
  <si>
    <t>nbinfo@onns.kr</t>
  </si>
  <si>
    <t>수신</t>
  </si>
  <si>
    <t>정수인 과장님</t>
  </si>
  <si>
    <r>
      <rPr>
        <sz val="10"/>
        <color rgb="FF000000"/>
        <rFont val="Malgun Gothic"/>
        <family val="3"/>
        <charset val="129"/>
      </rPr>
      <t>(</t>
    </r>
    <r>
      <rPr>
        <sz val="10"/>
        <color rgb="FF000000"/>
        <rFont val="Noto Sans CJK SC"/>
        <family val="2"/>
      </rPr>
      <t>기재 요청</t>
    </r>
    <r>
      <rPr>
        <sz val="10"/>
        <color rgb="FF000000"/>
        <rFont val="Malgun Gothic"/>
        <family val="3"/>
        <charset val="129"/>
      </rPr>
      <t>)</t>
    </r>
  </si>
  <si>
    <t>pro2@janytree.com</t>
  </si>
  <si>
    <t>유 의 사 항</t>
  </si>
  <si>
    <r>
      <rPr>
        <b/>
        <sz val="10"/>
        <color rgb="FFFF0000"/>
        <rFont val="Noto Sans CJK SC"/>
        <family val="2"/>
      </rPr>
      <t xml:space="preserve">브랜드가 초도 물량과 </t>
    </r>
    <r>
      <rPr>
        <b/>
        <sz val="10"/>
        <color rgb="FFFF0000"/>
        <rFont val="Malgun Gothic"/>
        <family val="3"/>
        <charset val="129"/>
      </rPr>
      <t>VMD</t>
    </r>
    <r>
      <rPr>
        <b/>
        <sz val="10"/>
        <color rgb="FFFF0000"/>
        <rFont val="Noto Sans CJK SC"/>
        <family val="2"/>
      </rPr>
      <t>를 직접 가지고 매장에 방문하여 직접 진열 및 세팅 진행</t>
    </r>
  </si>
  <si>
    <r>
      <rPr>
        <b/>
        <sz val="11"/>
        <color theme="1"/>
        <rFont val="Malgun Gothic"/>
        <family val="3"/>
        <charset val="129"/>
      </rPr>
      <t xml:space="preserve">1. </t>
    </r>
    <r>
      <rPr>
        <b/>
        <sz val="11"/>
        <color theme="1"/>
        <rFont val="Noto Sans CJK SC"/>
        <family val="2"/>
      </rPr>
      <t>귀사의 일익 번창 하심을 기원합니다</t>
    </r>
    <r>
      <rPr>
        <b/>
        <sz val="11"/>
        <color theme="1"/>
        <rFont val="Malgun Gothic"/>
        <family val="3"/>
        <charset val="129"/>
      </rPr>
      <t>.</t>
    </r>
  </si>
  <si>
    <r>
      <rPr>
        <b/>
        <sz val="11"/>
        <color theme="1"/>
        <rFont val="Malgun Gothic"/>
        <family val="3"/>
        <charset val="129"/>
      </rPr>
      <t xml:space="preserve">2. </t>
    </r>
    <r>
      <rPr>
        <b/>
        <sz val="11"/>
        <color theme="1"/>
        <rFont val="Noto Sans CJK SC"/>
        <family val="2"/>
      </rPr>
      <t>하기의 물품을 발주하오니 아래 사항을 준수하여 납품하여 주시기 바랍니다</t>
    </r>
    <r>
      <rPr>
        <b/>
        <sz val="11"/>
        <color theme="1"/>
        <rFont val="Malgun Gothic"/>
        <family val="3"/>
        <charset val="129"/>
      </rPr>
      <t xml:space="preserve">. </t>
    </r>
  </si>
  <si>
    <r>
      <rPr>
        <b/>
        <sz val="11"/>
        <color theme="1"/>
        <rFont val="Malgun Gothic"/>
        <family val="3"/>
        <charset val="129"/>
      </rPr>
      <t xml:space="preserve">3. </t>
    </r>
    <r>
      <rPr>
        <b/>
        <sz val="11"/>
        <color theme="1"/>
        <rFont val="Noto Sans CJK SC"/>
        <family val="2"/>
      </rPr>
      <t>초도 발주 수량의 경우</t>
    </r>
    <r>
      <rPr>
        <b/>
        <sz val="11"/>
        <color theme="1"/>
        <rFont val="Malgun Gothic"/>
        <family val="3"/>
        <charset val="129"/>
      </rPr>
      <t>, VMD</t>
    </r>
    <r>
      <rPr>
        <b/>
        <sz val="11"/>
        <color theme="1"/>
        <rFont val="Noto Sans CJK SC"/>
        <family val="2"/>
      </rPr>
      <t>와 함께 매장에 직접 방문하여 상품 진열 및 세팅 요청 드립니다</t>
    </r>
    <r>
      <rPr>
        <b/>
        <sz val="11"/>
        <color theme="1"/>
        <rFont val="Malgun Gothic"/>
        <family val="3"/>
        <charset val="129"/>
      </rPr>
      <t>.</t>
    </r>
  </si>
  <si>
    <t xml:space="preserve">    ※ 방문 전 담당자에게 방문 일정 및 시간 전달 필수</t>
  </si>
  <si>
    <t>품목</t>
  </si>
  <si>
    <t>용량</t>
  </si>
  <si>
    <t>정상가</t>
  </si>
  <si>
    <r>
      <rPr>
        <sz val="10"/>
        <color rgb="FF000000"/>
        <rFont val="Noto Sans CJK SC"/>
        <family val="2"/>
      </rPr>
      <t>온누리 약국</t>
    </r>
    <r>
      <rPr>
        <sz val="10"/>
        <color rgb="FF000000"/>
        <rFont val="Malgun Gothic"/>
        <family val="3"/>
        <charset val="129"/>
      </rPr>
      <t xml:space="preserve">
</t>
    </r>
    <r>
      <rPr>
        <sz val="10"/>
        <color rgb="FF000000"/>
        <rFont val="Noto Sans CJK SC"/>
        <family val="2"/>
      </rPr>
      <t>판매가</t>
    </r>
  </si>
  <si>
    <t>최종 발주수량</t>
  </si>
  <si>
    <t>비고</t>
  </si>
  <si>
    <t>입고일</t>
  </si>
  <si>
    <r>
      <rPr>
        <sz val="10"/>
        <color rgb="FF000000"/>
        <rFont val="Noto Sans CJK SC"/>
        <family val="2"/>
      </rPr>
      <t xml:space="preserve">공급가
</t>
    </r>
    <r>
      <rPr>
        <sz val="10"/>
        <color rgb="FF000000"/>
        <rFont val="Malgun Gothic"/>
        <family val="3"/>
        <charset val="129"/>
      </rPr>
      <t xml:space="preserve">(VAT </t>
    </r>
    <r>
      <rPr>
        <sz val="10"/>
        <color rgb="FF000000"/>
        <rFont val="Noto Sans CJK SC"/>
        <family val="2"/>
      </rPr>
      <t>포함</t>
    </r>
    <r>
      <rPr>
        <sz val="10"/>
        <color rgb="FF000000"/>
        <rFont val="Malgun Gothic"/>
        <family val="3"/>
        <charset val="129"/>
      </rPr>
      <t>)</t>
    </r>
  </si>
  <si>
    <t>합계</t>
  </si>
  <si>
    <t>9/1~9/3</t>
  </si>
  <si>
    <t>㈜ 온 누 리 스 토 어</t>
  </si>
  <si>
    <t>(4ml x 5vials)</t>
    <phoneticPr fontId="19" type="noConversion"/>
  </si>
  <si>
    <t xml:space="preserve"> 인투메디 에이치알 펩타이드_20ml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</si>
</sst>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/yyyy"/>
    <numFmt numFmtId="177" formatCode="#,##0_);[Red]\(#,##0\)"/>
    <numFmt numFmtId="178" formatCode="_-* #,##0_-;\-* #,##0_-;_-* \-_-;_-@"/>
  </numFmts>
  <fonts count="21">
    <font>
      <sz val="11"/>
      <color theme="1"/>
      <name val="Calibri"/>
      <family val="2"/>
      <charset val="1"/>
    </font>
    <font>
      <sz val="10"/>
      <color rgb="FF000000"/>
      <name val="Arial"/>
      <charset val="1"/>
    </font>
    <font>
      <b/>
      <sz val="20"/>
      <color rgb="FF000000"/>
      <name val="Noto Sans CJK SC"/>
      <family val="2"/>
    </font>
    <font>
      <b/>
      <sz val="20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Noto Sans CJK SC"/>
      <family val="2"/>
    </font>
    <font>
      <b/>
      <sz val="10"/>
      <color theme="1"/>
      <name val="Malgun Gothic"/>
      <family val="3"/>
      <charset val="129"/>
    </font>
    <font>
      <sz val="10"/>
      <color theme="1"/>
      <name val="Noto Sans CJK SC"/>
      <family val="2"/>
    </font>
    <font>
      <sz val="10"/>
      <color theme="1"/>
      <name val="Malgun Gothic"/>
      <family val="3"/>
      <charset val="129"/>
    </font>
    <font>
      <b/>
      <sz val="10"/>
      <color theme="1"/>
      <name val="Noto Sans CJK SC"/>
      <family val="2"/>
    </font>
    <font>
      <b/>
      <sz val="10"/>
      <color rgb="FFFF0000"/>
      <name val="Malgun Gothic"/>
      <family val="3"/>
      <charset val="129"/>
    </font>
    <font>
      <b/>
      <sz val="10"/>
      <color rgb="FFFF0000"/>
      <name val="Noto Sans CJK SC"/>
      <family val="2"/>
    </font>
    <font>
      <b/>
      <sz val="11"/>
      <color theme="1"/>
      <name val="Malgun Gothic"/>
      <family val="3"/>
      <charset val="129"/>
    </font>
    <font>
      <b/>
      <sz val="11"/>
      <color theme="1"/>
      <name val="Noto Sans CJK SC"/>
      <family val="2"/>
    </font>
    <font>
      <sz val="11"/>
      <color theme="1"/>
      <name val="Arial"/>
      <family val="2"/>
    </font>
    <font>
      <b/>
      <sz val="11"/>
      <color rgb="FFFF0000"/>
      <name val="Noto Sans CJK SC"/>
      <family val="2"/>
    </font>
    <font>
      <b/>
      <sz val="10"/>
      <color rgb="FF000000"/>
      <name val="Noto Sans CJK SC"/>
      <family val="2"/>
    </font>
    <font>
      <b/>
      <sz val="10"/>
      <color rgb="FF000000"/>
      <name val="Malgun Gothic"/>
      <family val="3"/>
      <charset val="129"/>
    </font>
    <font>
      <b/>
      <sz val="16"/>
      <color rgb="FF000000"/>
      <name val="Noto Sans CJK SC"/>
      <family val="2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5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4" fillId="0" borderId="4" xfId="0" applyFont="1" applyBorder="1"/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3" fontId="17" fillId="2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49" fontId="7" fillId="0" borderId="15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3" fontId="17" fillId="0" borderId="15" xfId="0" applyNumberFormat="1" applyFont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/>
    </xf>
    <xf numFmtId="178" fontId="17" fillId="2" borderId="11" xfId="0" applyNumberFormat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78" fontId="17" fillId="2" borderId="1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49" fontId="20" fillId="0" borderId="15" xfId="0" applyNumberFormat="1" applyFont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"/>
  <sheetViews>
    <sheetView showGridLines="0" tabSelected="1" topLeftCell="A3" zoomScaleNormal="100" workbookViewId="0">
      <selection activeCell="T21" sqref="T21"/>
    </sheetView>
  </sheetViews>
  <sheetFormatPr defaultColWidth="8.7109375" defaultRowHeight="15"/>
  <cols>
    <col min="1" max="1" width="3.28515625" customWidth="1"/>
    <col min="3" max="3" width="5" customWidth="1"/>
    <col min="6" max="6" width="8.42578125" customWidth="1"/>
    <col min="7" max="7" width="1.5703125" customWidth="1"/>
    <col min="8" max="8" width="19.85546875" customWidth="1"/>
    <col min="9" max="9" width="3.28515625" customWidth="1"/>
    <col min="10" max="10" width="20.7109375" customWidth="1"/>
    <col min="11" max="11" width="10" customWidth="1"/>
    <col min="12" max="12" width="2.7109375" customWidth="1"/>
    <col min="13" max="13" width="7.7109375" customWidth="1"/>
    <col min="14" max="14" width="12.85546875" customWidth="1"/>
    <col min="15" max="15" width="43.5703125" customWidth="1"/>
    <col min="16" max="16" width="10.7109375" customWidth="1"/>
    <col min="17" max="17" width="6.28515625" customWidth="1"/>
    <col min="18" max="18" width="4.140625" customWidth="1"/>
    <col min="21" max="21" width="3.42578125" customWidth="1"/>
    <col min="22" max="22" width="3.85546875" customWidth="1"/>
    <col min="23" max="23" width="3.28515625" customWidth="1"/>
  </cols>
  <sheetData>
    <row r="1" spans="1:23" ht="18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" customHeight="1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</row>
    <row r="3" spans="1:23" ht="15" customHeight="1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5"/>
    </row>
    <row r="4" spans="1:23" ht="15" customHeight="1">
      <c r="A4" s="15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</row>
    <row r="5" spans="1:23" ht="11.25" customHeight="1">
      <c r="A5" s="15"/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8"/>
      <c r="W5" s="15"/>
    </row>
    <row r="6" spans="1:23" ht="19.5" customHeight="1">
      <c r="A6" s="15"/>
      <c r="B6" s="19" t="s">
        <v>1</v>
      </c>
      <c r="C6" s="13" t="s">
        <v>2</v>
      </c>
      <c r="D6" s="13"/>
      <c r="E6" s="13"/>
      <c r="F6" s="12">
        <f ca="1">TODAY()</f>
        <v>46265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20"/>
      <c r="W6" s="15"/>
    </row>
    <row r="7" spans="1:23" ht="19.5" customHeight="1">
      <c r="A7" s="15"/>
      <c r="B7" s="19" t="s">
        <v>1</v>
      </c>
      <c r="C7" s="13" t="s">
        <v>3</v>
      </c>
      <c r="D7" s="13"/>
      <c r="E7" s="13"/>
      <c r="F7" s="11" t="s">
        <v>4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20"/>
      <c r="W7" s="15"/>
    </row>
    <row r="8" spans="1:23" ht="19.5" customHeight="1">
      <c r="A8" s="15"/>
      <c r="B8" s="19" t="s">
        <v>1</v>
      </c>
      <c r="C8" s="13" t="s">
        <v>5</v>
      </c>
      <c r="D8" s="13"/>
      <c r="E8" s="13"/>
      <c r="F8" s="10" t="s">
        <v>6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20"/>
      <c r="W8" s="15"/>
    </row>
    <row r="9" spans="1:23" ht="19.5" customHeight="1">
      <c r="A9" s="15"/>
      <c r="B9" s="19" t="s">
        <v>1</v>
      </c>
      <c r="C9" s="13" t="s">
        <v>7</v>
      </c>
      <c r="D9" s="13"/>
      <c r="E9" s="13"/>
      <c r="F9" s="9" t="s">
        <v>8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20"/>
      <c r="W9" s="15"/>
    </row>
    <row r="10" spans="1:23" ht="19.5" customHeight="1">
      <c r="A10" s="15"/>
      <c r="B10" s="19" t="s">
        <v>1</v>
      </c>
      <c r="C10" s="13" t="s">
        <v>9</v>
      </c>
      <c r="D10" s="13"/>
      <c r="E10" s="13"/>
      <c r="F10" s="8" t="s">
        <v>10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20"/>
      <c r="W10" s="15"/>
    </row>
    <row r="11" spans="1:23" ht="7.5" customHeight="1">
      <c r="A11" s="15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3"/>
      <c r="W11" s="15"/>
    </row>
    <row r="12" spans="1:23" ht="19.5" customHeight="1">
      <c r="A12" s="15"/>
      <c r="B12" s="19"/>
      <c r="C12" s="7" t="s">
        <v>11</v>
      </c>
      <c r="D12" s="7"/>
      <c r="E12" s="7"/>
      <c r="F12" s="7"/>
      <c r="G12" s="7"/>
      <c r="H12" s="6" t="s">
        <v>12</v>
      </c>
      <c r="I12" s="6"/>
      <c r="J12" s="6"/>
      <c r="K12" s="5" t="s">
        <v>13</v>
      </c>
      <c r="L12" s="5"/>
      <c r="M12" s="5"/>
      <c r="N12" s="5"/>
      <c r="O12" s="24" t="s">
        <v>14</v>
      </c>
      <c r="P12" s="4" t="s">
        <v>4</v>
      </c>
      <c r="Q12" s="4"/>
      <c r="R12" s="4"/>
      <c r="S12" s="4"/>
      <c r="T12" s="4"/>
      <c r="U12" s="4"/>
      <c r="V12" s="20"/>
      <c r="W12" s="15"/>
    </row>
    <row r="13" spans="1:23" ht="19.5" customHeight="1">
      <c r="A13" s="15"/>
      <c r="B13" s="19"/>
      <c r="C13" s="7"/>
      <c r="D13" s="7"/>
      <c r="E13" s="7"/>
      <c r="F13" s="7"/>
      <c r="G13" s="7"/>
      <c r="H13" s="3" t="s">
        <v>15</v>
      </c>
      <c r="I13" s="3"/>
      <c r="J13" s="3"/>
      <c r="K13" s="2" t="s">
        <v>16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0"/>
      <c r="W13" s="15"/>
    </row>
    <row r="14" spans="1:23" ht="19.5" customHeight="1">
      <c r="A14" s="15"/>
      <c r="B14" s="19"/>
      <c r="C14" s="7"/>
      <c r="D14" s="7"/>
      <c r="E14" s="7"/>
      <c r="F14" s="7"/>
      <c r="G14" s="7"/>
      <c r="H14" s="3" t="s">
        <v>17</v>
      </c>
      <c r="I14" s="3"/>
      <c r="J14" s="3"/>
      <c r="K14" s="1" t="s">
        <v>18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20"/>
      <c r="W14" s="15"/>
    </row>
    <row r="15" spans="1:23" ht="19.5" customHeight="1">
      <c r="A15" s="15"/>
      <c r="B15" s="19"/>
      <c r="C15" s="7"/>
      <c r="D15" s="7"/>
      <c r="E15" s="7"/>
      <c r="F15" s="7"/>
      <c r="G15" s="7"/>
      <c r="H15" s="3" t="s">
        <v>19</v>
      </c>
      <c r="I15" s="3"/>
      <c r="J15" s="3"/>
      <c r="K15" s="40" t="s">
        <v>20</v>
      </c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20"/>
      <c r="W15" s="15"/>
    </row>
    <row r="16" spans="1:23" ht="19.5" customHeight="1">
      <c r="A16" s="15"/>
      <c r="B16" s="19"/>
      <c r="C16" s="7"/>
      <c r="D16" s="7"/>
      <c r="E16" s="7"/>
      <c r="F16" s="7"/>
      <c r="G16" s="7"/>
      <c r="H16" s="3" t="s">
        <v>21</v>
      </c>
      <c r="I16" s="3"/>
      <c r="J16" s="3"/>
      <c r="K16" s="41" t="s">
        <v>22</v>
      </c>
      <c r="L16" s="41"/>
      <c r="M16" s="41"/>
      <c r="N16" s="41"/>
      <c r="O16" s="25" t="s">
        <v>23</v>
      </c>
      <c r="P16" s="42" t="s">
        <v>24</v>
      </c>
      <c r="Q16" s="42"/>
      <c r="R16" s="42"/>
      <c r="S16" s="42"/>
      <c r="T16" s="42"/>
      <c r="U16" s="42"/>
      <c r="V16" s="20"/>
      <c r="W16" s="15"/>
    </row>
    <row r="17" spans="1:23" ht="19.5" customHeight="1">
      <c r="A17" s="15"/>
      <c r="B17" s="19"/>
      <c r="C17" s="43" t="s">
        <v>25</v>
      </c>
      <c r="D17" s="43"/>
      <c r="E17" s="43"/>
      <c r="F17" s="43"/>
      <c r="G17" s="43"/>
      <c r="H17" s="5" t="s">
        <v>12</v>
      </c>
      <c r="I17" s="5"/>
      <c r="J17" s="5"/>
      <c r="K17" s="5" t="s">
        <v>26</v>
      </c>
      <c r="L17" s="5"/>
      <c r="M17" s="5"/>
      <c r="N17" s="5"/>
      <c r="O17" s="24" t="s">
        <v>14</v>
      </c>
      <c r="P17" s="4" t="str">
        <f>F8</f>
        <v>(주)제니트리</v>
      </c>
      <c r="Q17" s="4"/>
      <c r="R17" s="4"/>
      <c r="S17" s="4"/>
      <c r="T17" s="4"/>
      <c r="U17" s="4"/>
      <c r="V17" s="20"/>
      <c r="W17" s="15"/>
    </row>
    <row r="18" spans="1:23" ht="19.5" customHeight="1">
      <c r="A18" s="15"/>
      <c r="B18" s="19"/>
      <c r="C18" s="43"/>
      <c r="D18" s="43"/>
      <c r="E18" s="43"/>
      <c r="F18" s="43"/>
      <c r="G18" s="43"/>
      <c r="H18" s="44" t="s">
        <v>17</v>
      </c>
      <c r="I18" s="44"/>
      <c r="J18" s="44"/>
      <c r="K18" s="2" t="s">
        <v>27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0"/>
      <c r="W18" s="15"/>
    </row>
    <row r="19" spans="1:23" ht="19.5" customHeight="1">
      <c r="A19" s="15"/>
      <c r="B19" s="19"/>
      <c r="C19" s="43"/>
      <c r="D19" s="43"/>
      <c r="E19" s="43"/>
      <c r="F19" s="43"/>
      <c r="G19" s="43"/>
      <c r="H19" s="3" t="s">
        <v>21</v>
      </c>
      <c r="I19" s="3"/>
      <c r="J19" s="3"/>
      <c r="K19" s="45" t="s">
        <v>27</v>
      </c>
      <c r="L19" s="45"/>
      <c r="M19" s="45"/>
      <c r="N19" s="45"/>
      <c r="O19" s="25" t="s">
        <v>23</v>
      </c>
      <c r="P19" s="46" t="s">
        <v>28</v>
      </c>
      <c r="Q19" s="46"/>
      <c r="R19" s="46"/>
      <c r="S19" s="46"/>
      <c r="T19" s="46"/>
      <c r="U19" s="46"/>
      <c r="V19" s="20"/>
      <c r="W19" s="15"/>
    </row>
    <row r="20" spans="1:23" ht="19.5" customHeight="1">
      <c r="A20" s="15"/>
      <c r="B20" s="19"/>
      <c r="C20" s="43"/>
      <c r="D20" s="43"/>
      <c r="E20" s="43"/>
      <c r="F20" s="43"/>
      <c r="G20" s="43"/>
      <c r="H20" s="47" t="s">
        <v>29</v>
      </c>
      <c r="I20" s="47"/>
      <c r="J20" s="47"/>
      <c r="K20" s="48" t="s">
        <v>30</v>
      </c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20"/>
      <c r="W20" s="15"/>
    </row>
    <row r="21" spans="1:23" ht="19.5" customHeight="1">
      <c r="A21" s="15"/>
      <c r="B21" s="19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0"/>
      <c r="W21" s="15"/>
    </row>
    <row r="22" spans="1:23" ht="19.5" customHeight="1">
      <c r="A22" s="15"/>
      <c r="B22" s="19"/>
      <c r="C22" s="49" t="s">
        <v>31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27"/>
      <c r="W22" s="15"/>
    </row>
    <row r="23" spans="1:23" ht="18.75" customHeight="1">
      <c r="A23" s="15"/>
      <c r="B23" s="19"/>
      <c r="C23" s="49" t="s">
        <v>32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27"/>
      <c r="W23" s="15"/>
    </row>
    <row r="24" spans="1:23" ht="18.75" customHeight="1">
      <c r="A24" s="15"/>
      <c r="B24" s="19"/>
      <c r="C24" s="49" t="s">
        <v>33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28"/>
      <c r="W24" s="15"/>
    </row>
    <row r="25" spans="1:23" ht="18.75" customHeight="1">
      <c r="A25" s="15"/>
      <c r="B25" s="19"/>
      <c r="C25" s="50" t="s">
        <v>34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28"/>
      <c r="W25" s="15"/>
    </row>
    <row r="26" spans="1:23" ht="19.5" customHeight="1">
      <c r="A26" s="15"/>
      <c r="B26" s="19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20"/>
      <c r="W26" s="15"/>
    </row>
    <row r="27" spans="1:23" ht="33" customHeight="1">
      <c r="A27" s="15"/>
      <c r="B27" s="19"/>
      <c r="C27" s="6" t="s">
        <v>35</v>
      </c>
      <c r="D27" s="6"/>
      <c r="E27" s="6"/>
      <c r="F27" s="6"/>
      <c r="G27" s="6"/>
      <c r="H27" s="6"/>
      <c r="I27" s="51" t="s">
        <v>36</v>
      </c>
      <c r="J27" s="51"/>
      <c r="K27" s="30" t="s">
        <v>37</v>
      </c>
      <c r="L27" s="52" t="s">
        <v>38</v>
      </c>
      <c r="M27" s="52"/>
      <c r="N27" s="31" t="s">
        <v>39</v>
      </c>
      <c r="O27" s="29" t="s">
        <v>40</v>
      </c>
      <c r="P27" s="32" t="s">
        <v>41</v>
      </c>
      <c r="Q27" s="52" t="s">
        <v>42</v>
      </c>
      <c r="R27" s="52"/>
      <c r="S27" s="4" t="s">
        <v>43</v>
      </c>
      <c r="T27" s="4"/>
      <c r="U27" s="4"/>
      <c r="V27" s="20"/>
      <c r="W27" s="15"/>
    </row>
    <row r="28" spans="1:23" ht="19.5" customHeight="1">
      <c r="A28" s="15"/>
      <c r="B28" s="33"/>
      <c r="C28" s="64" t="s">
        <v>47</v>
      </c>
      <c r="D28" s="53"/>
      <c r="E28" s="53"/>
      <c r="F28" s="53"/>
      <c r="G28" s="53"/>
      <c r="H28" s="53"/>
      <c r="I28" s="54" t="s">
        <v>46</v>
      </c>
      <c r="J28" s="54"/>
      <c r="K28" s="63">
        <v>98000</v>
      </c>
      <c r="L28" s="55">
        <v>98000</v>
      </c>
      <c r="M28" s="55"/>
      <c r="N28" s="35">
        <v>10</v>
      </c>
      <c r="O28" s="36"/>
      <c r="P28" s="37" t="s">
        <v>44</v>
      </c>
      <c r="Q28" s="56">
        <v>44100</v>
      </c>
      <c r="R28" s="56"/>
      <c r="S28" s="57">
        <f t="shared" ref="S28:S57" si="0">IFERROR(N28*Q28,0)</f>
        <v>441000</v>
      </c>
      <c r="T28" s="57"/>
      <c r="U28" s="57"/>
      <c r="V28" s="20"/>
      <c r="W28" s="15"/>
    </row>
    <row r="29" spans="1:23" ht="19.5" customHeight="1">
      <c r="A29" s="15"/>
      <c r="B29" s="33"/>
      <c r="C29" s="53"/>
      <c r="D29" s="53"/>
      <c r="E29" s="53"/>
      <c r="F29" s="53"/>
      <c r="G29" s="53"/>
      <c r="H29" s="53"/>
      <c r="I29" s="54"/>
      <c r="J29" s="54"/>
      <c r="K29" s="34"/>
      <c r="L29" s="55"/>
      <c r="M29" s="55"/>
      <c r="N29" s="35"/>
      <c r="O29" s="36"/>
      <c r="P29" s="37" t="s">
        <v>44</v>
      </c>
      <c r="Q29" s="56"/>
      <c r="R29" s="56"/>
      <c r="S29" s="57">
        <f t="shared" ref="S29:S37" si="1">IFERROR(N29*Q29,0)</f>
        <v>0</v>
      </c>
      <c r="T29" s="57"/>
      <c r="U29" s="57"/>
      <c r="V29" s="20"/>
      <c r="W29" s="15"/>
    </row>
    <row r="30" spans="1:23" ht="19.5" customHeight="1">
      <c r="A30" s="15"/>
      <c r="B30" s="33"/>
      <c r="C30" s="53"/>
      <c r="D30" s="53"/>
      <c r="E30" s="53"/>
      <c r="F30" s="53"/>
      <c r="G30" s="53"/>
      <c r="H30" s="53"/>
      <c r="I30" s="54"/>
      <c r="J30" s="54"/>
      <c r="K30" s="34"/>
      <c r="L30" s="55"/>
      <c r="M30" s="55"/>
      <c r="N30" s="35"/>
      <c r="O30" s="36"/>
      <c r="P30" s="37" t="s">
        <v>44</v>
      </c>
      <c r="Q30" s="56"/>
      <c r="R30" s="56"/>
      <c r="S30" s="57">
        <f t="shared" si="1"/>
        <v>0</v>
      </c>
      <c r="T30" s="57"/>
      <c r="U30" s="57"/>
      <c r="V30" s="20"/>
      <c r="W30" s="15"/>
    </row>
    <row r="31" spans="1:23" ht="19.5" customHeight="1">
      <c r="A31" s="15"/>
      <c r="B31" s="33"/>
      <c r="C31" s="53"/>
      <c r="D31" s="53"/>
      <c r="E31" s="53"/>
      <c r="F31" s="53"/>
      <c r="G31" s="53"/>
      <c r="H31" s="53"/>
      <c r="I31" s="54"/>
      <c r="J31" s="54"/>
      <c r="K31" s="34"/>
      <c r="L31" s="55"/>
      <c r="M31" s="55"/>
      <c r="N31" s="35"/>
      <c r="O31" s="36"/>
      <c r="P31" s="37" t="s">
        <v>44</v>
      </c>
      <c r="Q31" s="56"/>
      <c r="R31" s="56"/>
      <c r="S31" s="57">
        <f t="shared" si="1"/>
        <v>0</v>
      </c>
      <c r="T31" s="57"/>
      <c r="U31" s="57"/>
      <c r="V31" s="20"/>
      <c r="W31" s="15"/>
    </row>
    <row r="32" spans="1:23" ht="19.5" customHeight="1">
      <c r="A32" s="15"/>
      <c r="B32" s="33"/>
      <c r="C32" s="53"/>
      <c r="D32" s="53"/>
      <c r="E32" s="53"/>
      <c r="F32" s="53"/>
      <c r="G32" s="53"/>
      <c r="H32" s="53"/>
      <c r="I32" s="54"/>
      <c r="J32" s="54"/>
      <c r="K32" s="34"/>
      <c r="L32" s="55"/>
      <c r="M32" s="55"/>
      <c r="N32" s="35"/>
      <c r="O32" s="36"/>
      <c r="P32" s="37" t="s">
        <v>44</v>
      </c>
      <c r="Q32" s="56"/>
      <c r="R32" s="56"/>
      <c r="S32" s="57">
        <f t="shared" si="1"/>
        <v>0</v>
      </c>
      <c r="T32" s="57"/>
      <c r="U32" s="57"/>
      <c r="V32" s="20"/>
      <c r="W32" s="15"/>
    </row>
    <row r="33" spans="1:23" ht="19.5" customHeight="1">
      <c r="A33" s="15"/>
      <c r="B33" s="33"/>
      <c r="C33" s="53"/>
      <c r="D33" s="53"/>
      <c r="E33" s="53"/>
      <c r="F33" s="53"/>
      <c r="G33" s="53"/>
      <c r="H33" s="53"/>
      <c r="I33" s="54"/>
      <c r="J33" s="54"/>
      <c r="K33" s="34"/>
      <c r="L33" s="55"/>
      <c r="M33" s="55"/>
      <c r="N33" s="35"/>
      <c r="O33" s="36"/>
      <c r="P33" s="37" t="s">
        <v>44</v>
      </c>
      <c r="Q33" s="56"/>
      <c r="R33" s="56"/>
      <c r="S33" s="57">
        <f t="shared" si="1"/>
        <v>0</v>
      </c>
      <c r="T33" s="57"/>
      <c r="U33" s="57"/>
      <c r="V33" s="20"/>
      <c r="W33" s="15"/>
    </row>
    <row r="34" spans="1:23" ht="19.5" customHeight="1">
      <c r="A34" s="15"/>
      <c r="B34" s="33"/>
      <c r="C34" s="53"/>
      <c r="D34" s="53"/>
      <c r="E34" s="53"/>
      <c r="F34" s="53"/>
      <c r="G34" s="53"/>
      <c r="H34" s="53"/>
      <c r="I34" s="54"/>
      <c r="J34" s="54"/>
      <c r="K34" s="34"/>
      <c r="L34" s="55"/>
      <c r="M34" s="55"/>
      <c r="N34" s="35"/>
      <c r="O34" s="36"/>
      <c r="P34" s="37" t="s">
        <v>44</v>
      </c>
      <c r="Q34" s="56"/>
      <c r="R34" s="56"/>
      <c r="S34" s="57">
        <f t="shared" si="1"/>
        <v>0</v>
      </c>
      <c r="T34" s="57"/>
      <c r="U34" s="57"/>
      <c r="V34" s="20"/>
      <c r="W34" s="15"/>
    </row>
    <row r="35" spans="1:23" ht="19.5" customHeight="1">
      <c r="A35" s="15"/>
      <c r="B35" s="33"/>
      <c r="C35" s="53"/>
      <c r="D35" s="53"/>
      <c r="E35" s="53"/>
      <c r="F35" s="53"/>
      <c r="G35" s="53"/>
      <c r="H35" s="53"/>
      <c r="I35" s="54"/>
      <c r="J35" s="54"/>
      <c r="K35" s="34"/>
      <c r="L35" s="55"/>
      <c r="M35" s="55"/>
      <c r="N35" s="35"/>
      <c r="O35" s="36"/>
      <c r="P35" s="37" t="s">
        <v>44</v>
      </c>
      <c r="Q35" s="56"/>
      <c r="R35" s="56"/>
      <c r="S35" s="57">
        <f t="shared" si="1"/>
        <v>0</v>
      </c>
      <c r="T35" s="57"/>
      <c r="U35" s="57"/>
      <c r="V35" s="20"/>
      <c r="W35" s="15"/>
    </row>
    <row r="36" spans="1:23" ht="19.5" customHeight="1">
      <c r="A36" s="15"/>
      <c r="B36" s="33"/>
      <c r="C36" s="53"/>
      <c r="D36" s="53"/>
      <c r="E36" s="53"/>
      <c r="F36" s="53"/>
      <c r="G36" s="53"/>
      <c r="H36" s="53"/>
      <c r="I36" s="54"/>
      <c r="J36" s="54"/>
      <c r="K36" s="34"/>
      <c r="L36" s="55"/>
      <c r="M36" s="55"/>
      <c r="N36" s="35"/>
      <c r="O36" s="36"/>
      <c r="P36" s="37" t="s">
        <v>44</v>
      </c>
      <c r="Q36" s="56"/>
      <c r="R36" s="56"/>
      <c r="S36" s="57">
        <f t="shared" si="1"/>
        <v>0</v>
      </c>
      <c r="T36" s="57"/>
      <c r="U36" s="57"/>
      <c r="V36" s="20"/>
      <c r="W36" s="15"/>
    </row>
    <row r="37" spans="1:23" ht="19.5" customHeight="1">
      <c r="A37" s="15"/>
      <c r="B37" s="33"/>
      <c r="C37" s="53"/>
      <c r="D37" s="53"/>
      <c r="E37" s="53"/>
      <c r="F37" s="53"/>
      <c r="G37" s="53"/>
      <c r="H37" s="53"/>
      <c r="I37" s="54"/>
      <c r="J37" s="54"/>
      <c r="K37" s="34"/>
      <c r="L37" s="55"/>
      <c r="M37" s="55"/>
      <c r="N37" s="35"/>
      <c r="O37" s="36"/>
      <c r="P37" s="37" t="s">
        <v>44</v>
      </c>
      <c r="Q37" s="56"/>
      <c r="R37" s="56"/>
      <c r="S37" s="57">
        <f t="shared" si="1"/>
        <v>0</v>
      </c>
      <c r="T37" s="57"/>
      <c r="U37" s="57"/>
      <c r="V37" s="20"/>
      <c r="W37" s="15"/>
    </row>
    <row r="38" spans="1:23" ht="19.5" customHeight="1">
      <c r="A38" s="15"/>
      <c r="B38" s="33"/>
      <c r="C38" s="53"/>
      <c r="D38" s="53"/>
      <c r="E38" s="53"/>
      <c r="F38" s="53"/>
      <c r="G38" s="53"/>
      <c r="H38" s="53"/>
      <c r="I38" s="54"/>
      <c r="J38" s="54"/>
      <c r="K38" s="34"/>
      <c r="L38" s="55"/>
      <c r="M38" s="55"/>
      <c r="N38" s="35"/>
      <c r="O38" s="36"/>
      <c r="P38" s="37" t="s">
        <v>44</v>
      </c>
      <c r="Q38" s="56"/>
      <c r="R38" s="56"/>
      <c r="S38" s="57">
        <f t="shared" si="0"/>
        <v>0</v>
      </c>
      <c r="T38" s="57"/>
      <c r="U38" s="57"/>
      <c r="V38" s="20"/>
      <c r="W38" s="15"/>
    </row>
    <row r="39" spans="1:23" ht="19.5" customHeight="1">
      <c r="A39" s="15"/>
      <c r="B39" s="33"/>
      <c r="C39" s="53"/>
      <c r="D39" s="53"/>
      <c r="E39" s="53"/>
      <c r="F39" s="53"/>
      <c r="G39" s="53"/>
      <c r="H39" s="53"/>
      <c r="I39" s="54"/>
      <c r="J39" s="54"/>
      <c r="K39" s="34"/>
      <c r="L39" s="55"/>
      <c r="M39" s="55"/>
      <c r="N39" s="35"/>
      <c r="O39" s="36"/>
      <c r="P39" s="37" t="s">
        <v>44</v>
      </c>
      <c r="Q39" s="56"/>
      <c r="R39" s="56"/>
      <c r="S39" s="57">
        <f t="shared" si="0"/>
        <v>0</v>
      </c>
      <c r="T39" s="57"/>
      <c r="U39" s="57"/>
      <c r="V39" s="20"/>
      <c r="W39" s="15"/>
    </row>
    <row r="40" spans="1:23" ht="19.5" customHeight="1">
      <c r="A40" s="15"/>
      <c r="B40" s="33"/>
      <c r="C40" s="53"/>
      <c r="D40" s="53"/>
      <c r="E40" s="53"/>
      <c r="F40" s="53"/>
      <c r="G40" s="53"/>
      <c r="H40" s="53"/>
      <c r="I40" s="54"/>
      <c r="J40" s="54"/>
      <c r="K40" s="34"/>
      <c r="L40" s="55"/>
      <c r="M40" s="55"/>
      <c r="N40" s="35"/>
      <c r="O40" s="36"/>
      <c r="P40" s="37" t="s">
        <v>44</v>
      </c>
      <c r="Q40" s="56"/>
      <c r="R40" s="56"/>
      <c r="S40" s="57">
        <f t="shared" si="0"/>
        <v>0</v>
      </c>
      <c r="T40" s="57"/>
      <c r="U40" s="57"/>
      <c r="V40" s="20"/>
      <c r="W40" s="15"/>
    </row>
    <row r="41" spans="1:23" ht="19.5" customHeight="1">
      <c r="A41" s="15"/>
      <c r="B41" s="33"/>
      <c r="C41" s="53"/>
      <c r="D41" s="53"/>
      <c r="E41" s="53"/>
      <c r="F41" s="53"/>
      <c r="G41" s="53"/>
      <c r="H41" s="53"/>
      <c r="I41" s="54"/>
      <c r="J41" s="54"/>
      <c r="K41" s="34"/>
      <c r="L41" s="55"/>
      <c r="M41" s="55"/>
      <c r="N41" s="35"/>
      <c r="O41" s="36"/>
      <c r="P41" s="37" t="s">
        <v>44</v>
      </c>
      <c r="Q41" s="56"/>
      <c r="R41" s="56"/>
      <c r="S41" s="57">
        <f t="shared" si="0"/>
        <v>0</v>
      </c>
      <c r="T41" s="57"/>
      <c r="U41" s="57"/>
      <c r="V41" s="20"/>
      <c r="W41" s="15"/>
    </row>
    <row r="42" spans="1:23" ht="19.5" customHeight="1">
      <c r="A42" s="15"/>
      <c r="B42" s="33"/>
      <c r="C42" s="53"/>
      <c r="D42" s="53"/>
      <c r="E42" s="53"/>
      <c r="F42" s="53"/>
      <c r="G42" s="53"/>
      <c r="H42" s="53"/>
      <c r="I42" s="54"/>
      <c r="J42" s="54"/>
      <c r="K42" s="34"/>
      <c r="L42" s="55"/>
      <c r="M42" s="55"/>
      <c r="N42" s="35"/>
      <c r="O42" s="36"/>
      <c r="P42" s="37" t="s">
        <v>44</v>
      </c>
      <c r="Q42" s="56"/>
      <c r="R42" s="56"/>
      <c r="S42" s="57">
        <f t="shared" si="0"/>
        <v>0</v>
      </c>
      <c r="T42" s="57"/>
      <c r="U42" s="57"/>
      <c r="V42" s="20"/>
      <c r="W42" s="15"/>
    </row>
    <row r="43" spans="1:23" ht="19.5" customHeight="1">
      <c r="A43" s="15"/>
      <c r="B43" s="33"/>
      <c r="C43" s="53"/>
      <c r="D43" s="53"/>
      <c r="E43" s="53"/>
      <c r="F43" s="53"/>
      <c r="G43" s="53"/>
      <c r="H43" s="53"/>
      <c r="I43" s="54"/>
      <c r="J43" s="54"/>
      <c r="K43" s="34"/>
      <c r="L43" s="55"/>
      <c r="M43" s="55"/>
      <c r="N43" s="35"/>
      <c r="O43" s="36"/>
      <c r="P43" s="37" t="s">
        <v>44</v>
      </c>
      <c r="Q43" s="56"/>
      <c r="R43" s="56"/>
      <c r="S43" s="57">
        <f t="shared" si="0"/>
        <v>0</v>
      </c>
      <c r="T43" s="57"/>
      <c r="U43" s="57"/>
      <c r="V43" s="20"/>
      <c r="W43" s="15"/>
    </row>
    <row r="44" spans="1:23" ht="19.5" customHeight="1">
      <c r="A44" s="15"/>
      <c r="B44" s="33"/>
      <c r="C44" s="53"/>
      <c r="D44" s="53"/>
      <c r="E44" s="53"/>
      <c r="F44" s="53"/>
      <c r="G44" s="53"/>
      <c r="H44" s="53"/>
      <c r="I44" s="54"/>
      <c r="J44" s="54"/>
      <c r="K44" s="34"/>
      <c r="L44" s="55"/>
      <c r="M44" s="55"/>
      <c r="N44" s="35"/>
      <c r="O44" s="36"/>
      <c r="P44" s="37" t="s">
        <v>44</v>
      </c>
      <c r="Q44" s="56"/>
      <c r="R44" s="56"/>
      <c r="S44" s="57">
        <f t="shared" si="0"/>
        <v>0</v>
      </c>
      <c r="T44" s="57"/>
      <c r="U44" s="57"/>
      <c r="V44" s="20"/>
      <c r="W44" s="15"/>
    </row>
    <row r="45" spans="1:23" ht="19.5" customHeight="1">
      <c r="A45" s="15"/>
      <c r="B45" s="33"/>
      <c r="C45" s="53"/>
      <c r="D45" s="53"/>
      <c r="E45" s="53"/>
      <c r="F45" s="53"/>
      <c r="G45" s="53"/>
      <c r="H45" s="53"/>
      <c r="I45" s="54"/>
      <c r="J45" s="54"/>
      <c r="K45" s="34"/>
      <c r="L45" s="55"/>
      <c r="M45" s="55"/>
      <c r="N45" s="35"/>
      <c r="O45" s="36"/>
      <c r="P45" s="37" t="s">
        <v>44</v>
      </c>
      <c r="Q45" s="56"/>
      <c r="R45" s="56"/>
      <c r="S45" s="57">
        <f t="shared" si="0"/>
        <v>0</v>
      </c>
      <c r="T45" s="57"/>
      <c r="U45" s="57"/>
      <c r="V45" s="20"/>
      <c r="W45" s="15"/>
    </row>
    <row r="46" spans="1:23" ht="19.5" customHeight="1">
      <c r="A46" s="15"/>
      <c r="B46" s="33"/>
      <c r="C46" s="53"/>
      <c r="D46" s="53"/>
      <c r="E46" s="53"/>
      <c r="F46" s="53"/>
      <c r="G46" s="53"/>
      <c r="H46" s="53"/>
      <c r="I46" s="54"/>
      <c r="J46" s="54"/>
      <c r="K46" s="34"/>
      <c r="L46" s="55"/>
      <c r="M46" s="55"/>
      <c r="N46" s="35"/>
      <c r="O46" s="36"/>
      <c r="P46" s="37" t="s">
        <v>44</v>
      </c>
      <c r="Q46" s="56"/>
      <c r="R46" s="56"/>
      <c r="S46" s="57">
        <f t="shared" si="0"/>
        <v>0</v>
      </c>
      <c r="T46" s="57"/>
      <c r="U46" s="57"/>
      <c r="V46" s="20"/>
      <c r="W46" s="15"/>
    </row>
    <row r="47" spans="1:23" ht="19.5" customHeight="1">
      <c r="A47" s="15"/>
      <c r="B47" s="33"/>
      <c r="C47" s="53"/>
      <c r="D47" s="53"/>
      <c r="E47" s="53"/>
      <c r="F47" s="53"/>
      <c r="G47" s="53"/>
      <c r="H47" s="53"/>
      <c r="I47" s="54"/>
      <c r="J47" s="54"/>
      <c r="K47" s="34"/>
      <c r="L47" s="55"/>
      <c r="M47" s="55"/>
      <c r="N47" s="35"/>
      <c r="O47" s="38"/>
      <c r="P47" s="37" t="s">
        <v>44</v>
      </c>
      <c r="Q47" s="56"/>
      <c r="R47" s="56"/>
      <c r="S47" s="57">
        <f t="shared" si="0"/>
        <v>0</v>
      </c>
      <c r="T47" s="57"/>
      <c r="U47" s="57"/>
      <c r="V47" s="20"/>
      <c r="W47" s="15"/>
    </row>
    <row r="48" spans="1:23" ht="19.5" customHeight="1">
      <c r="A48" s="15"/>
      <c r="B48" s="33"/>
      <c r="C48" s="53"/>
      <c r="D48" s="53"/>
      <c r="E48" s="53"/>
      <c r="F48" s="53"/>
      <c r="G48" s="53"/>
      <c r="H48" s="53"/>
      <c r="I48" s="54"/>
      <c r="J48" s="54"/>
      <c r="K48" s="34"/>
      <c r="L48" s="55"/>
      <c r="M48" s="55"/>
      <c r="N48" s="35"/>
      <c r="O48" s="36"/>
      <c r="P48" s="37" t="s">
        <v>44</v>
      </c>
      <c r="Q48" s="56"/>
      <c r="R48" s="56"/>
      <c r="S48" s="57">
        <f t="shared" si="0"/>
        <v>0</v>
      </c>
      <c r="T48" s="57"/>
      <c r="U48" s="57"/>
      <c r="V48" s="20"/>
      <c r="W48" s="15"/>
    </row>
    <row r="49" spans="1:23" ht="19.5" customHeight="1">
      <c r="A49" s="15"/>
      <c r="B49" s="33"/>
      <c r="C49" s="53"/>
      <c r="D49" s="53"/>
      <c r="E49" s="53"/>
      <c r="F49" s="53"/>
      <c r="G49" s="53"/>
      <c r="H49" s="53"/>
      <c r="I49" s="54"/>
      <c r="J49" s="54"/>
      <c r="K49" s="34"/>
      <c r="L49" s="55"/>
      <c r="M49" s="55"/>
      <c r="N49" s="35"/>
      <c r="O49" s="38"/>
      <c r="P49" s="37" t="s">
        <v>44</v>
      </c>
      <c r="Q49" s="56"/>
      <c r="R49" s="56"/>
      <c r="S49" s="57">
        <f t="shared" si="0"/>
        <v>0</v>
      </c>
      <c r="T49" s="57"/>
      <c r="U49" s="57"/>
      <c r="V49" s="20"/>
      <c r="W49" s="15"/>
    </row>
    <row r="50" spans="1:23" ht="19.5" customHeight="1">
      <c r="A50" s="15"/>
      <c r="B50" s="33"/>
      <c r="C50" s="53"/>
      <c r="D50" s="53"/>
      <c r="E50" s="53"/>
      <c r="F50" s="53"/>
      <c r="G50" s="53"/>
      <c r="H50" s="53"/>
      <c r="I50" s="54"/>
      <c r="J50" s="54"/>
      <c r="K50" s="34"/>
      <c r="L50" s="55"/>
      <c r="M50" s="55"/>
      <c r="N50" s="35"/>
      <c r="O50" s="36"/>
      <c r="P50" s="37" t="s">
        <v>44</v>
      </c>
      <c r="Q50" s="56"/>
      <c r="R50" s="56"/>
      <c r="S50" s="57">
        <f t="shared" si="0"/>
        <v>0</v>
      </c>
      <c r="T50" s="57"/>
      <c r="U50" s="57"/>
      <c r="V50" s="20"/>
      <c r="W50" s="15"/>
    </row>
    <row r="51" spans="1:23" ht="19.5" customHeight="1">
      <c r="A51" s="15"/>
      <c r="B51" s="33"/>
      <c r="C51" s="53"/>
      <c r="D51" s="53"/>
      <c r="E51" s="53"/>
      <c r="F51" s="53"/>
      <c r="G51" s="53"/>
      <c r="H51" s="53"/>
      <c r="I51" s="54"/>
      <c r="J51" s="54"/>
      <c r="K51" s="34"/>
      <c r="L51" s="55"/>
      <c r="M51" s="55"/>
      <c r="N51" s="35"/>
      <c r="O51" s="38"/>
      <c r="P51" s="37" t="s">
        <v>44</v>
      </c>
      <c r="Q51" s="56"/>
      <c r="R51" s="56"/>
      <c r="S51" s="57">
        <f t="shared" si="0"/>
        <v>0</v>
      </c>
      <c r="T51" s="57"/>
      <c r="U51" s="57"/>
      <c r="V51" s="20"/>
      <c r="W51" s="15"/>
    </row>
    <row r="52" spans="1:23" ht="19.5" customHeight="1">
      <c r="A52" s="15"/>
      <c r="B52" s="33"/>
      <c r="C52" s="53"/>
      <c r="D52" s="53"/>
      <c r="E52" s="53"/>
      <c r="F52" s="53"/>
      <c r="G52" s="53"/>
      <c r="H52" s="53"/>
      <c r="I52" s="54"/>
      <c r="J52" s="54"/>
      <c r="K52" s="34"/>
      <c r="L52" s="55"/>
      <c r="M52" s="55"/>
      <c r="N52" s="35"/>
      <c r="O52" s="36"/>
      <c r="P52" s="37" t="s">
        <v>44</v>
      </c>
      <c r="Q52" s="56"/>
      <c r="R52" s="56"/>
      <c r="S52" s="57">
        <f t="shared" si="0"/>
        <v>0</v>
      </c>
      <c r="T52" s="57"/>
      <c r="U52" s="57"/>
      <c r="V52" s="20"/>
      <c r="W52" s="15"/>
    </row>
    <row r="53" spans="1:23" ht="19.5" customHeight="1">
      <c r="A53" s="15"/>
      <c r="B53" s="33"/>
      <c r="C53" s="53"/>
      <c r="D53" s="53"/>
      <c r="E53" s="53"/>
      <c r="F53" s="53"/>
      <c r="G53" s="53"/>
      <c r="H53" s="53"/>
      <c r="I53" s="54"/>
      <c r="J53" s="54"/>
      <c r="K53" s="34"/>
      <c r="L53" s="55"/>
      <c r="M53" s="55"/>
      <c r="N53" s="35"/>
      <c r="O53" s="38"/>
      <c r="P53" s="37" t="s">
        <v>44</v>
      </c>
      <c r="Q53" s="56"/>
      <c r="R53" s="56"/>
      <c r="S53" s="57">
        <f t="shared" si="0"/>
        <v>0</v>
      </c>
      <c r="T53" s="57"/>
      <c r="U53" s="57"/>
      <c r="V53" s="20"/>
      <c r="W53" s="15"/>
    </row>
    <row r="54" spans="1:23" ht="19.5" customHeight="1">
      <c r="A54" s="15"/>
      <c r="B54" s="33"/>
      <c r="C54" s="53"/>
      <c r="D54" s="53"/>
      <c r="E54" s="53"/>
      <c r="F54" s="53"/>
      <c r="G54" s="53"/>
      <c r="H54" s="53"/>
      <c r="I54" s="54"/>
      <c r="J54" s="54"/>
      <c r="K54" s="34"/>
      <c r="L54" s="55"/>
      <c r="M54" s="55"/>
      <c r="N54" s="35"/>
      <c r="O54" s="36"/>
      <c r="P54" s="37" t="s">
        <v>44</v>
      </c>
      <c r="Q54" s="56"/>
      <c r="R54" s="56"/>
      <c r="S54" s="57">
        <f t="shared" si="0"/>
        <v>0</v>
      </c>
      <c r="T54" s="57"/>
      <c r="U54" s="57"/>
      <c r="V54" s="20"/>
      <c r="W54" s="15"/>
    </row>
    <row r="55" spans="1:23" ht="19.5" customHeight="1">
      <c r="A55" s="15"/>
      <c r="B55" s="33"/>
      <c r="C55" s="53"/>
      <c r="D55" s="53"/>
      <c r="E55" s="53"/>
      <c r="F55" s="53"/>
      <c r="G55" s="53"/>
      <c r="H55" s="53"/>
      <c r="I55" s="54"/>
      <c r="J55" s="54"/>
      <c r="K55" s="34"/>
      <c r="L55" s="55"/>
      <c r="M55" s="55"/>
      <c r="N55" s="35"/>
      <c r="O55" s="36"/>
      <c r="P55" s="37" t="s">
        <v>44</v>
      </c>
      <c r="Q55" s="56"/>
      <c r="R55" s="56"/>
      <c r="S55" s="57">
        <f t="shared" si="0"/>
        <v>0</v>
      </c>
      <c r="T55" s="57"/>
      <c r="U55" s="57"/>
      <c r="V55" s="20"/>
      <c r="W55" s="15"/>
    </row>
    <row r="56" spans="1:23" ht="19.5" customHeight="1">
      <c r="A56" s="15"/>
      <c r="B56" s="33"/>
      <c r="C56" s="53"/>
      <c r="D56" s="53"/>
      <c r="E56" s="53"/>
      <c r="F56" s="53"/>
      <c r="G56" s="53"/>
      <c r="H56" s="53"/>
      <c r="I56" s="54"/>
      <c r="J56" s="54"/>
      <c r="K56" s="34"/>
      <c r="L56" s="55"/>
      <c r="M56" s="55"/>
      <c r="N56" s="35"/>
      <c r="O56" s="38"/>
      <c r="P56" s="37" t="s">
        <v>44</v>
      </c>
      <c r="Q56" s="56"/>
      <c r="R56" s="56"/>
      <c r="S56" s="57">
        <f t="shared" si="0"/>
        <v>0</v>
      </c>
      <c r="T56" s="57"/>
      <c r="U56" s="57"/>
      <c r="V56" s="20"/>
      <c r="W56" s="15"/>
    </row>
    <row r="57" spans="1:23" ht="19.5" customHeight="1">
      <c r="A57" s="15"/>
      <c r="B57" s="33"/>
      <c r="C57" s="53"/>
      <c r="D57" s="53"/>
      <c r="E57" s="53"/>
      <c r="F57" s="53"/>
      <c r="G57" s="53"/>
      <c r="H57" s="53"/>
      <c r="I57" s="54"/>
      <c r="J57" s="54"/>
      <c r="K57" s="34"/>
      <c r="L57" s="55"/>
      <c r="M57" s="55"/>
      <c r="N57" s="35"/>
      <c r="O57" s="36"/>
      <c r="P57" s="37" t="s">
        <v>44</v>
      </c>
      <c r="Q57" s="56"/>
      <c r="R57" s="56"/>
      <c r="S57" s="57">
        <f t="shared" si="0"/>
        <v>0</v>
      </c>
      <c r="T57" s="57"/>
      <c r="U57" s="57"/>
      <c r="V57" s="20"/>
      <c r="W57" s="15"/>
    </row>
    <row r="58" spans="1:23" ht="19.5" customHeight="1">
      <c r="A58" s="15"/>
      <c r="B58" s="33"/>
      <c r="C58" s="53"/>
      <c r="D58" s="53"/>
      <c r="E58" s="53"/>
      <c r="F58" s="53"/>
      <c r="G58" s="53"/>
      <c r="H58" s="53"/>
      <c r="I58" s="54"/>
      <c r="J58" s="54"/>
      <c r="K58" s="34"/>
      <c r="L58" s="55"/>
      <c r="M58" s="55"/>
      <c r="N58" s="35"/>
      <c r="O58" s="38"/>
      <c r="P58" s="37" t="s">
        <v>44</v>
      </c>
      <c r="Q58" s="56"/>
      <c r="R58" s="56"/>
      <c r="S58" s="57">
        <f>N58*Q58</f>
        <v>0</v>
      </c>
      <c r="T58" s="57"/>
      <c r="U58" s="57"/>
      <c r="V58" s="20"/>
      <c r="W58" s="15"/>
    </row>
    <row r="59" spans="1:23" ht="19.5" customHeight="1">
      <c r="A59" s="15"/>
      <c r="B59" s="33"/>
      <c r="C59" s="53"/>
      <c r="D59" s="53"/>
      <c r="E59" s="53"/>
      <c r="F59" s="53"/>
      <c r="G59" s="53"/>
      <c r="H59" s="53"/>
      <c r="I59" s="54"/>
      <c r="J59" s="54"/>
      <c r="K59" s="34"/>
      <c r="L59" s="55"/>
      <c r="M59" s="55"/>
      <c r="N59" s="35"/>
      <c r="O59" s="36"/>
      <c r="P59" s="37" t="s">
        <v>44</v>
      </c>
      <c r="Q59" s="56"/>
      <c r="R59" s="56"/>
      <c r="S59" s="57">
        <f>N59*Q59</f>
        <v>0</v>
      </c>
      <c r="T59" s="57"/>
      <c r="U59" s="57"/>
      <c r="V59" s="20"/>
      <c r="W59" s="15"/>
    </row>
    <row r="60" spans="1:23" ht="19.5" customHeight="1">
      <c r="A60" s="15"/>
      <c r="B60" s="33"/>
      <c r="C60" s="53"/>
      <c r="D60" s="53"/>
      <c r="E60" s="53"/>
      <c r="F60" s="53"/>
      <c r="G60" s="53"/>
      <c r="H60" s="53"/>
      <c r="I60" s="54"/>
      <c r="J60" s="54"/>
      <c r="K60" s="34"/>
      <c r="L60" s="55"/>
      <c r="M60" s="55"/>
      <c r="N60" s="35"/>
      <c r="O60" s="38"/>
      <c r="P60" s="37" t="s">
        <v>44</v>
      </c>
      <c r="Q60" s="56"/>
      <c r="R60" s="56"/>
      <c r="S60" s="57">
        <f>N60*Q60</f>
        <v>0</v>
      </c>
      <c r="T60" s="57"/>
      <c r="U60" s="57"/>
      <c r="V60" s="20"/>
      <c r="W60" s="15"/>
    </row>
    <row r="61" spans="1:23" ht="19.5" customHeight="1">
      <c r="A61" s="15"/>
      <c r="B61" s="19"/>
      <c r="C61" s="58" t="s">
        <v>43</v>
      </c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9">
        <f>SUM(S28:U60)</f>
        <v>441000</v>
      </c>
      <c r="T61" s="59"/>
      <c r="U61" s="59"/>
      <c r="V61" s="20"/>
      <c r="W61" s="15"/>
    </row>
    <row r="62" spans="1:23" ht="19.5" customHeight="1">
      <c r="A62" s="15"/>
      <c r="B62" s="19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39"/>
      <c r="T62" s="39"/>
      <c r="U62" s="39"/>
      <c r="V62" s="20"/>
      <c r="W62" s="15"/>
    </row>
    <row r="63" spans="1:23" ht="19.5" customHeight="1">
      <c r="A63" s="15"/>
      <c r="B63" s="19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20"/>
      <c r="W63" s="15"/>
    </row>
    <row r="64" spans="1:23" ht="19.5" customHeight="1">
      <c r="A64" s="15"/>
      <c r="B64" s="19"/>
      <c r="C64" s="61" t="s">
        <v>45</v>
      </c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20"/>
      <c r="W64" s="15"/>
    </row>
    <row r="65" spans="1:23" ht="19.5" customHeight="1">
      <c r="A65" s="15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15"/>
    </row>
  </sheetData>
  <mergeCells count="214">
    <mergeCell ref="B65:V65"/>
    <mergeCell ref="C60:H60"/>
    <mergeCell ref="I60:J60"/>
    <mergeCell ref="L60:M60"/>
    <mergeCell ref="Q60:R60"/>
    <mergeCell ref="S60:U60"/>
    <mergeCell ref="C61:R61"/>
    <mergeCell ref="S61:U61"/>
    <mergeCell ref="C63:U63"/>
    <mergeCell ref="C64:U64"/>
    <mergeCell ref="C58:H58"/>
    <mergeCell ref="I58:J58"/>
    <mergeCell ref="L58:M58"/>
    <mergeCell ref="Q58:R58"/>
    <mergeCell ref="S58:U58"/>
    <mergeCell ref="C59:H59"/>
    <mergeCell ref="I59:J59"/>
    <mergeCell ref="L59:M59"/>
    <mergeCell ref="Q59:R59"/>
    <mergeCell ref="S59:U59"/>
    <mergeCell ref="C56:H56"/>
    <mergeCell ref="I56:J56"/>
    <mergeCell ref="L56:M56"/>
    <mergeCell ref="Q56:R56"/>
    <mergeCell ref="S56:U56"/>
    <mergeCell ref="C57:H57"/>
    <mergeCell ref="I57:J57"/>
    <mergeCell ref="L57:M57"/>
    <mergeCell ref="Q57:R57"/>
    <mergeCell ref="S57:U57"/>
    <mergeCell ref="C54:H54"/>
    <mergeCell ref="I54:J54"/>
    <mergeCell ref="L54:M54"/>
    <mergeCell ref="Q54:R54"/>
    <mergeCell ref="S54:U54"/>
    <mergeCell ref="C55:H55"/>
    <mergeCell ref="I55:J55"/>
    <mergeCell ref="L55:M55"/>
    <mergeCell ref="Q55:R55"/>
    <mergeCell ref="S55:U55"/>
    <mergeCell ref="C52:H52"/>
    <mergeCell ref="I52:J52"/>
    <mergeCell ref="L52:M52"/>
    <mergeCell ref="Q52:R52"/>
    <mergeCell ref="S52:U52"/>
    <mergeCell ref="C53:H53"/>
    <mergeCell ref="I53:J53"/>
    <mergeCell ref="L53:M53"/>
    <mergeCell ref="Q53:R53"/>
    <mergeCell ref="S53:U53"/>
    <mergeCell ref="C50:H50"/>
    <mergeCell ref="I50:J50"/>
    <mergeCell ref="L50:M50"/>
    <mergeCell ref="Q50:R50"/>
    <mergeCell ref="S50:U50"/>
    <mergeCell ref="C51:H51"/>
    <mergeCell ref="I51:J51"/>
    <mergeCell ref="L51:M51"/>
    <mergeCell ref="Q51:R51"/>
    <mergeCell ref="S51:U51"/>
    <mergeCell ref="C48:H48"/>
    <mergeCell ref="I48:J48"/>
    <mergeCell ref="L48:M48"/>
    <mergeCell ref="Q48:R48"/>
    <mergeCell ref="S48:U48"/>
    <mergeCell ref="C49:H49"/>
    <mergeCell ref="I49:J49"/>
    <mergeCell ref="L49:M49"/>
    <mergeCell ref="Q49:R49"/>
    <mergeCell ref="S49:U49"/>
    <mergeCell ref="C46:H46"/>
    <mergeCell ref="I46:J46"/>
    <mergeCell ref="L46:M46"/>
    <mergeCell ref="Q46:R46"/>
    <mergeCell ref="S46:U46"/>
    <mergeCell ref="C47:H47"/>
    <mergeCell ref="I47:J47"/>
    <mergeCell ref="L47:M47"/>
    <mergeCell ref="Q47:R47"/>
    <mergeCell ref="S47:U47"/>
    <mergeCell ref="C44:H44"/>
    <mergeCell ref="I44:J44"/>
    <mergeCell ref="L44:M44"/>
    <mergeCell ref="Q44:R44"/>
    <mergeCell ref="S44:U44"/>
    <mergeCell ref="C45:H45"/>
    <mergeCell ref="I45:J45"/>
    <mergeCell ref="L45:M45"/>
    <mergeCell ref="Q45:R45"/>
    <mergeCell ref="S45:U45"/>
    <mergeCell ref="C42:H42"/>
    <mergeCell ref="I42:J42"/>
    <mergeCell ref="L42:M42"/>
    <mergeCell ref="Q42:R42"/>
    <mergeCell ref="S42:U42"/>
    <mergeCell ref="C43:H43"/>
    <mergeCell ref="I43:J43"/>
    <mergeCell ref="L43:M43"/>
    <mergeCell ref="Q43:R43"/>
    <mergeCell ref="S43:U43"/>
    <mergeCell ref="C40:H40"/>
    <mergeCell ref="I40:J40"/>
    <mergeCell ref="L40:M40"/>
    <mergeCell ref="Q40:R40"/>
    <mergeCell ref="S40:U40"/>
    <mergeCell ref="C41:H41"/>
    <mergeCell ref="I41:J41"/>
    <mergeCell ref="L41:M41"/>
    <mergeCell ref="Q41:R41"/>
    <mergeCell ref="S41:U41"/>
    <mergeCell ref="C38:H38"/>
    <mergeCell ref="I38:J38"/>
    <mergeCell ref="L38:M38"/>
    <mergeCell ref="Q38:R38"/>
    <mergeCell ref="S38:U38"/>
    <mergeCell ref="C39:H39"/>
    <mergeCell ref="I39:J39"/>
    <mergeCell ref="L39:M39"/>
    <mergeCell ref="Q39:R39"/>
    <mergeCell ref="S39:U39"/>
    <mergeCell ref="C36:H36"/>
    <mergeCell ref="I36:J36"/>
    <mergeCell ref="L36:M36"/>
    <mergeCell ref="Q36:R36"/>
    <mergeCell ref="S36:U36"/>
    <mergeCell ref="C37:H37"/>
    <mergeCell ref="I37:J37"/>
    <mergeCell ref="L37:M37"/>
    <mergeCell ref="Q37:R37"/>
    <mergeCell ref="S37:U37"/>
    <mergeCell ref="C34:H34"/>
    <mergeCell ref="I34:J34"/>
    <mergeCell ref="L34:M34"/>
    <mergeCell ref="Q34:R34"/>
    <mergeCell ref="S34:U34"/>
    <mergeCell ref="C35:H35"/>
    <mergeCell ref="I35:J35"/>
    <mergeCell ref="L35:M35"/>
    <mergeCell ref="Q35:R35"/>
    <mergeCell ref="S35:U35"/>
    <mergeCell ref="C32:H32"/>
    <mergeCell ref="I32:J32"/>
    <mergeCell ref="L32:M32"/>
    <mergeCell ref="Q32:R32"/>
    <mergeCell ref="S32:U32"/>
    <mergeCell ref="C33:H33"/>
    <mergeCell ref="I33:J33"/>
    <mergeCell ref="L33:M33"/>
    <mergeCell ref="Q33:R33"/>
    <mergeCell ref="S33:U33"/>
    <mergeCell ref="C30:H30"/>
    <mergeCell ref="I30:J30"/>
    <mergeCell ref="L30:M30"/>
    <mergeCell ref="Q30:R30"/>
    <mergeCell ref="S30:U30"/>
    <mergeCell ref="C31:H31"/>
    <mergeCell ref="I31:J31"/>
    <mergeCell ref="L31:M31"/>
    <mergeCell ref="Q31:R31"/>
    <mergeCell ref="S31:U31"/>
    <mergeCell ref="C28:H28"/>
    <mergeCell ref="I28:J28"/>
    <mergeCell ref="L28:M28"/>
    <mergeCell ref="Q28:R28"/>
    <mergeCell ref="S28:U28"/>
    <mergeCell ref="C29:H29"/>
    <mergeCell ref="I29:J29"/>
    <mergeCell ref="L29:M29"/>
    <mergeCell ref="Q29:R29"/>
    <mergeCell ref="S29:U29"/>
    <mergeCell ref="C22:U22"/>
    <mergeCell ref="C23:U23"/>
    <mergeCell ref="C24:U24"/>
    <mergeCell ref="C25:U25"/>
    <mergeCell ref="C27:H27"/>
    <mergeCell ref="I27:J27"/>
    <mergeCell ref="L27:M27"/>
    <mergeCell ref="Q27:R27"/>
    <mergeCell ref="S27:U27"/>
    <mergeCell ref="C17:G20"/>
    <mergeCell ref="H17:J17"/>
    <mergeCell ref="K17:N17"/>
    <mergeCell ref="P17:U17"/>
    <mergeCell ref="H18:J18"/>
    <mergeCell ref="K18:U18"/>
    <mergeCell ref="H19:J19"/>
    <mergeCell ref="K19:N19"/>
    <mergeCell ref="P19:U19"/>
    <mergeCell ref="H20:J20"/>
    <mergeCell ref="K20:U20"/>
    <mergeCell ref="C10:E10"/>
    <mergeCell ref="F10:U10"/>
    <mergeCell ref="C12:G16"/>
    <mergeCell ref="H12:J12"/>
    <mergeCell ref="K12:N12"/>
    <mergeCell ref="P12:U12"/>
    <mergeCell ref="H13:J13"/>
    <mergeCell ref="K13:U13"/>
    <mergeCell ref="H14:J14"/>
    <mergeCell ref="K14:U14"/>
    <mergeCell ref="H15:J15"/>
    <mergeCell ref="K15:U15"/>
    <mergeCell ref="H16:J16"/>
    <mergeCell ref="K16:N16"/>
    <mergeCell ref="P16:U16"/>
    <mergeCell ref="B2:V4"/>
    <mergeCell ref="C6:E6"/>
    <mergeCell ref="F6:U6"/>
    <mergeCell ref="C7:E7"/>
    <mergeCell ref="F7:U7"/>
    <mergeCell ref="C8:E8"/>
    <mergeCell ref="F8:U8"/>
    <mergeCell ref="C9:E9"/>
    <mergeCell ref="F9:U9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오피스18</cp:lastModifiedBy>
  <cp:revision>0</cp:revision>
  <dcterms:created xsi:type="dcterms:W3CDTF">2026-08-28T07:02:34Z</dcterms:created>
  <dcterms:modified xsi:type="dcterms:W3CDTF">2026-08-31T01:13:55Z</dcterms:modified>
  <dc:language>en-US</dc:language>
</cp:coreProperties>
</file>